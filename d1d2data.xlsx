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tmk\research\GRINlens_raytrace\"/>
    </mc:Choice>
  </mc:AlternateContent>
  <xr:revisionPtr revIDLastSave="0" documentId="13_ncr:1_{E205EE47-6E9B-4A07-AF58-87E5362D242F}" xr6:coauthVersionLast="47" xr6:coauthVersionMax="47" xr10:uidLastSave="{00000000-0000-0000-0000-000000000000}"/>
  <bookViews>
    <workbookView xWindow="-98" yWindow="-98" windowWidth="19396" windowHeight="11475" xr2:uid="{3DC28405-1EFA-474B-A69B-4E870910A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1" l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4" i="1"/>
  <c r="F5" i="1"/>
  <c r="F6" i="1"/>
  <c r="F7" i="1"/>
  <c r="F8" i="1"/>
  <c r="F9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10" i="1"/>
</calcChain>
</file>

<file path=xl/sharedStrings.xml><?xml version="1.0" encoding="utf-8"?>
<sst xmlns="http://schemas.openxmlformats.org/spreadsheetml/2006/main" count="7" uniqueCount="7">
  <si>
    <t>do</t>
    <phoneticPr fontId="1"/>
  </si>
  <si>
    <t>di</t>
    <phoneticPr fontId="1"/>
  </si>
  <si>
    <t>SLA_memori</t>
    <phoneticPr fontId="1"/>
  </si>
  <si>
    <t>19_00</t>
    <phoneticPr fontId="1"/>
  </si>
  <si>
    <t>alpha</t>
    <phoneticPr fontId="1"/>
  </si>
  <si>
    <t>n1</t>
    <phoneticPr fontId="1"/>
  </si>
  <si>
    <t>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</si>
</sst>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5"/>
      <color rgb="FFB5CEA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5.2569429258692325E-2"/>
          <c:y val="5.2900949018586961E-2"/>
          <c:w val="0.89040245702414933"/>
          <c:h val="0.69124074631533106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Sheet1!$E$10:$E$28</c:f>
              <c:numCache>
                <c:formatCode>General</c:formatCode>
                <c:ptCount val="19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</c:numCache>
            </c:numRef>
          </c:xVal>
          <c:yVal>
            <c:numRef>
              <c:f>Sheet1!$F$10:$F$28</c:f>
              <c:numCache>
                <c:formatCode>General</c:formatCode>
                <c:ptCount val="19"/>
                <c:pt idx="0">
                  <c:v>58.946072552929287</c:v>
                </c:pt>
                <c:pt idx="1">
                  <c:v>54.507494367900875</c:v>
                </c:pt>
                <c:pt idx="2">
                  <c:v>50.806503565992898</c:v>
                </c:pt>
                <c:pt idx="3">
                  <c:v>47.673349867310897</c:v>
                </c:pt>
                <c:pt idx="4">
                  <c:v>44.986660758507043</c:v>
                </c:pt>
                <c:pt idx="5">
                  <c:v>42.657353534078801</c:v>
                </c:pt>
                <c:pt idx="6">
                  <c:v>40.618567005105177</c:v>
                </c:pt>
                <c:pt idx="7">
                  <c:v>38.819139339047936</c:v>
                </c:pt>
                <c:pt idx="8">
                  <c:v>37.21925568616642</c:v>
                </c:pt>
                <c:pt idx="9">
                  <c:v>35.787467683946844</c:v>
                </c:pt>
                <c:pt idx="10">
                  <c:v>34.498605530526355</c:v>
                </c:pt>
                <c:pt idx="11">
                  <c:v>33.332285604754453</c:v>
                </c:pt>
                <c:pt idx="12">
                  <c:v>32.271824445166885</c:v>
                </c:pt>
                <c:pt idx="13">
                  <c:v>31.303435603459057</c:v>
                </c:pt>
                <c:pt idx="14">
                  <c:v>30.415626988898609</c:v>
                </c:pt>
                <c:pt idx="15">
                  <c:v>29.598742645584323</c:v>
                </c:pt>
                <c:pt idx="16">
                  <c:v>28.844610129651596</c:v>
                </c:pt>
                <c:pt idx="17">
                  <c:v>28.146266144505073</c:v>
                </c:pt>
                <c:pt idx="18">
                  <c:v>27.497740894272781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C2-49D2-822A-D3407EE675D1}"/>
            </c:ext>
          </c:extLst>
        </c:ser>
        <c:ser>
          <c:idx val="1"/>
          <c:order val="1"/>
          <c:tx>
            <c:strRef>
              <c:f>Sheet1!$A$9:$A$10</c:f>
              <c:strCache>
                <c:ptCount val="2"/>
                <c:pt idx="1">
                  <c:v>26.5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Sheet1!$A$10:$A$13</c:f>
              <c:numCache>
                <c:formatCode>General</c:formatCode>
                <c:ptCount val="4"/>
                <c:pt idx="0">
                  <c:v>26.5</c:v>
                </c:pt>
                <c:pt idx="1">
                  <c:v>30.5</c:v>
                </c:pt>
                <c:pt idx="2">
                  <c:v>32</c:v>
                </c:pt>
                <c:pt idx="3">
                  <c:v>35</c:v>
                </c:pt>
              </c:numCache>
            </c:numRef>
          </c:xVal>
          <c:yVal>
            <c:numRef>
              <c:f>Sheet1!$B$10:$B$13</c:f>
              <c:numCache>
                <c:formatCode>General</c:formatCode>
                <c:ptCount val="4"/>
                <c:pt idx="0">
                  <c:v>37</c:v>
                </c:pt>
                <c:pt idx="1">
                  <c:v>32</c:v>
                </c:pt>
                <c:pt idx="2">
                  <c:v>30</c:v>
                </c:pt>
                <c:pt idx="3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C2-49D2-822A-D3407EE67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101696"/>
        <c:axId val="884102656"/>
      </c:scatterChart>
      <c:valAx>
        <c:axId val="88410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4102656"/>
        <c:crosses val="autoZero"/>
        <c:crossBetween val="midCat"/>
      </c:valAx>
      <c:valAx>
        <c:axId val="88410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8410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77401</xdr:colOff>
      <xdr:row>3</xdr:row>
      <xdr:rowOff>140879</xdr:rowOff>
    </xdr:from>
    <xdr:to>
      <xdr:col>13</xdr:col>
      <xdr:colOff>535601</xdr:colOff>
      <xdr:row>15</xdr:row>
      <xdr:rowOff>198029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45A2EFF-A195-3B48-269D-03D2B7CD3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68A05-2C56-408A-9C02-568262A04F26}">
  <dimension ref="A1:G64"/>
  <sheetViews>
    <sheetView tabSelected="1" zoomScale="115" zoomScaleNormal="115" workbookViewId="0">
      <selection activeCell="E3" sqref="E3"/>
    </sheetView>
  </sheetViews>
  <sheetFormatPr defaultRowHeight="17.649999999999999" x14ac:dyDescent="0.7"/>
  <cols>
    <col min="3" max="3" width="13" customWidth="1"/>
  </cols>
  <sheetData>
    <row r="1" spans="1:7" x14ac:dyDescent="0.7">
      <c r="A1" t="s">
        <v>0</v>
      </c>
      <c r="B1" t="s">
        <v>1</v>
      </c>
      <c r="C1" t="s">
        <v>2</v>
      </c>
      <c r="E1" t="s">
        <v>4</v>
      </c>
      <c r="F1" t="s">
        <v>5</v>
      </c>
      <c r="G1" t="s">
        <v>6</v>
      </c>
    </row>
    <row r="2" spans="1:7" x14ac:dyDescent="0.7">
      <c r="A2">
        <v>30.7</v>
      </c>
      <c r="B2">
        <v>31.85</v>
      </c>
      <c r="C2">
        <v>9.1</v>
      </c>
      <c r="E2">
        <v>3.1399999999999997E-2</v>
      </c>
      <c r="F2">
        <v>1.6080000000000001</v>
      </c>
      <c r="G2" s="1">
        <v>35.18</v>
      </c>
    </row>
    <row r="3" spans="1:7" x14ac:dyDescent="0.7">
      <c r="A3">
        <v>34.6</v>
      </c>
      <c r="B3">
        <v>29</v>
      </c>
      <c r="C3">
        <v>7.1</v>
      </c>
    </row>
    <row r="4" spans="1:7" x14ac:dyDescent="0.7">
      <c r="A4">
        <v>38.6</v>
      </c>
      <c r="B4">
        <v>26.9</v>
      </c>
      <c r="C4">
        <v>5.0999999999999996</v>
      </c>
      <c r="E4">
        <v>14</v>
      </c>
      <c r="F4">
        <f t="shared" ref="F4:F9" si="0">-(1/(COS($E$2*$G$2)-$F$2*$E$2*E4*SIN($E$2*$G$2)))*(COS($E$2*$G$2)*E4+SIN($E$2*$G$2)/($F$2*$E$2))</f>
        <v>131.77381971219856</v>
      </c>
    </row>
    <row r="5" spans="1:7" x14ac:dyDescent="0.7">
      <c r="A5">
        <v>30.6</v>
      </c>
      <c r="B5">
        <v>32.799999999999997</v>
      </c>
      <c r="C5">
        <v>11.1</v>
      </c>
      <c r="E5">
        <v>15</v>
      </c>
      <c r="F5">
        <f t="shared" si="0"/>
        <v>107.58322742562009</v>
      </c>
    </row>
    <row r="6" spans="1:7" x14ac:dyDescent="0.7">
      <c r="A6">
        <v>29.8</v>
      </c>
      <c r="B6">
        <v>34.799999999999997</v>
      </c>
      <c r="C6">
        <v>13.1</v>
      </c>
      <c r="E6">
        <v>16</v>
      </c>
      <c r="F6">
        <f t="shared" si="0"/>
        <v>91.408875194317943</v>
      </c>
    </row>
    <row r="7" spans="1:7" x14ac:dyDescent="0.7">
      <c r="E7">
        <v>17</v>
      </c>
      <c r="F7">
        <f t="shared" si="0"/>
        <v>79.83251626072186</v>
      </c>
    </row>
    <row r="8" spans="1:7" x14ac:dyDescent="0.7">
      <c r="E8">
        <v>18</v>
      </c>
      <c r="F8">
        <f t="shared" si="0"/>
        <v>71.13749850320751</v>
      </c>
    </row>
    <row r="9" spans="1:7" x14ac:dyDescent="0.7">
      <c r="E9">
        <v>19</v>
      </c>
      <c r="F9">
        <f t="shared" si="0"/>
        <v>64.367137415622722</v>
      </c>
    </row>
    <row r="10" spans="1:7" x14ac:dyDescent="0.7">
      <c r="A10">
        <v>26.5</v>
      </c>
      <c r="B10">
        <v>37</v>
      </c>
      <c r="C10">
        <v>10.484999999999999</v>
      </c>
      <c r="E10">
        <v>20</v>
      </c>
      <c r="F10">
        <f>-(1/(COS($E$2*$G$2)-$F$2*$E$2*E10*SIN($E$2*$G$2)))*(COS($E$2*$G$2)*E10+SIN($E$2*$G$2)/($F$2*$E$2))</f>
        <v>58.946072552929287</v>
      </c>
    </row>
    <row r="11" spans="1:7" x14ac:dyDescent="0.7">
      <c r="A11">
        <v>30.5</v>
      </c>
      <c r="B11">
        <v>32</v>
      </c>
      <c r="E11">
        <v>21</v>
      </c>
      <c r="F11">
        <f t="shared" ref="F11:F64" si="1">-(1/(COS($E$2*$G$2)-$F$2*$E$2*E11*SIN($E$2*$G$2)))*(COS($E$2*$G$2)*E11+SIN($E$2*$G$2)/($F$2*$E$2))</f>
        <v>54.507494367900875</v>
      </c>
    </row>
    <row r="12" spans="1:7" x14ac:dyDescent="0.7">
      <c r="A12">
        <v>32</v>
      </c>
      <c r="B12">
        <v>30</v>
      </c>
      <c r="D12" t="s">
        <v>3</v>
      </c>
      <c r="E12">
        <v>22</v>
      </c>
      <c r="F12">
        <f t="shared" si="1"/>
        <v>50.806503565992898</v>
      </c>
    </row>
    <row r="13" spans="1:7" x14ac:dyDescent="0.7">
      <c r="A13">
        <v>35</v>
      </c>
      <c r="B13">
        <v>28</v>
      </c>
      <c r="E13">
        <v>23</v>
      </c>
      <c r="F13">
        <f t="shared" si="1"/>
        <v>47.673349867310897</v>
      </c>
    </row>
    <row r="14" spans="1:7" x14ac:dyDescent="0.7">
      <c r="B14">
        <v>25</v>
      </c>
      <c r="E14">
        <v>24</v>
      </c>
      <c r="F14">
        <f t="shared" si="1"/>
        <v>44.986660758507043</v>
      </c>
    </row>
    <row r="15" spans="1:7" x14ac:dyDescent="0.7">
      <c r="E15">
        <v>25</v>
      </c>
      <c r="F15">
        <f t="shared" si="1"/>
        <v>42.657353534078801</v>
      </c>
    </row>
    <row r="16" spans="1:7" x14ac:dyDescent="0.7">
      <c r="E16">
        <v>26</v>
      </c>
      <c r="F16">
        <f t="shared" si="1"/>
        <v>40.618567005105177</v>
      </c>
    </row>
    <row r="17" spans="5:6" x14ac:dyDescent="0.7">
      <c r="E17">
        <v>27</v>
      </c>
      <c r="F17">
        <f t="shared" si="1"/>
        <v>38.819139339047936</v>
      </c>
    </row>
    <row r="18" spans="5:6" x14ac:dyDescent="0.7">
      <c r="E18">
        <v>28</v>
      </c>
      <c r="F18">
        <f t="shared" si="1"/>
        <v>37.21925568616642</v>
      </c>
    </row>
    <row r="19" spans="5:6" x14ac:dyDescent="0.7">
      <c r="E19">
        <v>29</v>
      </c>
      <c r="F19">
        <f t="shared" si="1"/>
        <v>35.787467683946844</v>
      </c>
    </row>
    <row r="20" spans="5:6" x14ac:dyDescent="0.7">
      <c r="E20">
        <v>30</v>
      </c>
      <c r="F20">
        <f t="shared" si="1"/>
        <v>34.498605530526355</v>
      </c>
    </row>
    <row r="21" spans="5:6" x14ac:dyDescent="0.7">
      <c r="E21">
        <v>31</v>
      </c>
      <c r="F21">
        <f t="shared" si="1"/>
        <v>33.332285604754453</v>
      </c>
    </row>
    <row r="22" spans="5:6" x14ac:dyDescent="0.7">
      <c r="E22">
        <v>32</v>
      </c>
      <c r="F22">
        <f t="shared" si="1"/>
        <v>32.271824445166885</v>
      </c>
    </row>
    <row r="23" spans="5:6" x14ac:dyDescent="0.7">
      <c r="E23">
        <v>33</v>
      </c>
      <c r="F23">
        <f t="shared" si="1"/>
        <v>31.303435603459057</v>
      </c>
    </row>
    <row r="24" spans="5:6" x14ac:dyDescent="0.7">
      <c r="E24">
        <v>34</v>
      </c>
      <c r="F24">
        <f t="shared" si="1"/>
        <v>30.415626988898609</v>
      </c>
    </row>
    <row r="25" spans="5:6" x14ac:dyDescent="0.7">
      <c r="E25">
        <v>35</v>
      </c>
      <c r="F25">
        <f t="shared" si="1"/>
        <v>29.598742645584323</v>
      </c>
    </row>
    <row r="26" spans="5:6" x14ac:dyDescent="0.7">
      <c r="E26">
        <v>36</v>
      </c>
      <c r="F26">
        <f t="shared" si="1"/>
        <v>28.844610129651596</v>
      </c>
    </row>
    <row r="27" spans="5:6" x14ac:dyDescent="0.7">
      <c r="E27">
        <v>37</v>
      </c>
      <c r="F27">
        <f t="shared" si="1"/>
        <v>28.146266144505073</v>
      </c>
    </row>
    <row r="28" spans="5:6" x14ac:dyDescent="0.7">
      <c r="E28">
        <v>38</v>
      </c>
      <c r="F28">
        <f t="shared" si="1"/>
        <v>27.497740894272781</v>
      </c>
    </row>
    <row r="29" spans="5:6" x14ac:dyDescent="0.7">
      <c r="E29">
        <v>0</v>
      </c>
      <c r="F29">
        <f t="shared" si="1"/>
        <v>-39.364847965994251</v>
      </c>
    </row>
    <row r="30" spans="5:6" x14ac:dyDescent="0.7">
      <c r="E30">
        <v>1</v>
      </c>
      <c r="F30">
        <f t="shared" si="1"/>
        <v>-44.867539747710993</v>
      </c>
    </row>
    <row r="31" spans="5:6" x14ac:dyDescent="0.7">
      <c r="E31">
        <v>2</v>
      </c>
      <c r="F31">
        <f t="shared" si="1"/>
        <v>-51.752018220419792</v>
      </c>
    </row>
    <row r="32" spans="5:6" x14ac:dyDescent="0.7">
      <c r="E32">
        <v>3</v>
      </c>
      <c r="F32">
        <f t="shared" si="1"/>
        <v>-60.613487386754095</v>
      </c>
    </row>
    <row r="33" spans="5:6" x14ac:dyDescent="0.7">
      <c r="E33">
        <v>4</v>
      </c>
      <c r="F33">
        <f t="shared" si="1"/>
        <v>-72.446308692267053</v>
      </c>
    </row>
    <row r="34" spans="5:6" x14ac:dyDescent="0.7">
      <c r="E34">
        <v>5</v>
      </c>
      <c r="F34">
        <f t="shared" si="1"/>
        <v>-89.046004344373529</v>
      </c>
    </row>
    <row r="35" spans="5:6" x14ac:dyDescent="0.7">
      <c r="E35">
        <v>6</v>
      </c>
      <c r="F35">
        <f t="shared" si="1"/>
        <v>-114.01964926747087</v>
      </c>
    </row>
    <row r="36" spans="5:6" x14ac:dyDescent="0.7">
      <c r="E36">
        <v>7</v>
      </c>
      <c r="F36">
        <f t="shared" si="1"/>
        <v>-155.84117431434584</v>
      </c>
    </row>
    <row r="37" spans="5:6" x14ac:dyDescent="0.7">
      <c r="E37">
        <v>8</v>
      </c>
      <c r="F37">
        <f t="shared" si="1"/>
        <v>-240.23772087926972</v>
      </c>
    </row>
    <row r="38" spans="5:6" x14ac:dyDescent="0.7">
      <c r="E38">
        <v>9</v>
      </c>
      <c r="F38">
        <f t="shared" si="1"/>
        <v>-499.62122984134487</v>
      </c>
    </row>
    <row r="39" spans="5:6" x14ac:dyDescent="0.7">
      <c r="E39">
        <v>10</v>
      </c>
      <c r="F39">
        <f t="shared" si="1"/>
        <v>13897.014098659245</v>
      </c>
    </row>
    <row r="40" spans="5:6" x14ac:dyDescent="0.7">
      <c r="E40">
        <v>11</v>
      </c>
      <c r="F40">
        <f t="shared" si="1"/>
        <v>484.70891473944539</v>
      </c>
    </row>
    <row r="41" spans="5:6" x14ac:dyDescent="0.7">
      <c r="E41">
        <v>12</v>
      </c>
      <c r="F41">
        <f t="shared" si="1"/>
        <v>251.4647352614941</v>
      </c>
    </row>
    <row r="42" spans="5:6" x14ac:dyDescent="0.7">
      <c r="E42">
        <v>13</v>
      </c>
      <c r="F42">
        <f t="shared" si="1"/>
        <v>171.90341362247796</v>
      </c>
    </row>
    <row r="43" spans="5:6" x14ac:dyDescent="0.7">
      <c r="E43">
        <v>14</v>
      </c>
      <c r="F43">
        <f t="shared" si="1"/>
        <v>131.77381971219856</v>
      </c>
    </row>
    <row r="44" spans="5:6" x14ac:dyDescent="0.7">
      <c r="E44">
        <v>15</v>
      </c>
      <c r="F44">
        <f t="shared" si="1"/>
        <v>107.58322742562009</v>
      </c>
    </row>
    <row r="45" spans="5:6" x14ac:dyDescent="0.7">
      <c r="E45">
        <v>16</v>
      </c>
      <c r="F45">
        <f t="shared" si="1"/>
        <v>91.408875194317943</v>
      </c>
    </row>
    <row r="46" spans="5:6" x14ac:dyDescent="0.7">
      <c r="E46">
        <v>17</v>
      </c>
      <c r="F46">
        <f t="shared" si="1"/>
        <v>79.83251626072186</v>
      </c>
    </row>
    <row r="47" spans="5:6" x14ac:dyDescent="0.7">
      <c r="E47">
        <v>18</v>
      </c>
      <c r="F47">
        <f t="shared" si="1"/>
        <v>71.13749850320751</v>
      </c>
    </row>
    <row r="48" spans="5:6" x14ac:dyDescent="0.7">
      <c r="E48">
        <v>19</v>
      </c>
      <c r="F48">
        <f t="shared" si="1"/>
        <v>64.367137415622722</v>
      </c>
    </row>
    <row r="49" spans="5:6" x14ac:dyDescent="0.7">
      <c r="E49">
        <v>20</v>
      </c>
      <c r="F49">
        <f t="shared" si="1"/>
        <v>58.946072552929287</v>
      </c>
    </row>
    <row r="50" spans="5:6" x14ac:dyDescent="0.7">
      <c r="E50">
        <v>21</v>
      </c>
      <c r="F50">
        <f t="shared" si="1"/>
        <v>54.507494367900875</v>
      </c>
    </row>
    <row r="51" spans="5:6" x14ac:dyDescent="0.7">
      <c r="E51">
        <v>22</v>
      </c>
      <c r="F51">
        <f t="shared" si="1"/>
        <v>50.806503565992898</v>
      </c>
    </row>
    <row r="52" spans="5:6" x14ac:dyDescent="0.7">
      <c r="E52">
        <v>23</v>
      </c>
      <c r="F52">
        <f t="shared" si="1"/>
        <v>47.673349867310897</v>
      </c>
    </row>
    <row r="53" spans="5:6" x14ac:dyDescent="0.7">
      <c r="E53">
        <v>24</v>
      </c>
      <c r="F53">
        <f t="shared" si="1"/>
        <v>44.986660758507043</v>
      </c>
    </row>
    <row r="54" spans="5:6" x14ac:dyDescent="0.7">
      <c r="E54">
        <v>25</v>
      </c>
      <c r="F54">
        <f t="shared" si="1"/>
        <v>42.657353534078801</v>
      </c>
    </row>
    <row r="55" spans="5:6" x14ac:dyDescent="0.7">
      <c r="E55">
        <v>26</v>
      </c>
      <c r="F55">
        <f t="shared" si="1"/>
        <v>40.618567005105177</v>
      </c>
    </row>
    <row r="56" spans="5:6" x14ac:dyDescent="0.7">
      <c r="E56">
        <v>27</v>
      </c>
      <c r="F56">
        <f t="shared" si="1"/>
        <v>38.819139339047936</v>
      </c>
    </row>
    <row r="57" spans="5:6" x14ac:dyDescent="0.7">
      <c r="E57">
        <v>28</v>
      </c>
      <c r="F57">
        <f t="shared" si="1"/>
        <v>37.21925568616642</v>
      </c>
    </row>
    <row r="58" spans="5:6" x14ac:dyDescent="0.7">
      <c r="E58">
        <v>29</v>
      </c>
      <c r="F58">
        <f t="shared" si="1"/>
        <v>35.787467683946844</v>
      </c>
    </row>
    <row r="59" spans="5:6" x14ac:dyDescent="0.7">
      <c r="E59">
        <v>30</v>
      </c>
      <c r="F59">
        <f t="shared" si="1"/>
        <v>34.498605530526355</v>
      </c>
    </row>
    <row r="60" spans="5:6" x14ac:dyDescent="0.7">
      <c r="E60">
        <v>31</v>
      </c>
      <c r="F60">
        <f t="shared" si="1"/>
        <v>33.332285604754453</v>
      </c>
    </row>
    <row r="61" spans="5:6" x14ac:dyDescent="0.7">
      <c r="E61">
        <v>32</v>
      </c>
      <c r="F61">
        <f t="shared" si="1"/>
        <v>32.271824445166885</v>
      </c>
    </row>
    <row r="62" spans="5:6" x14ac:dyDescent="0.7">
      <c r="E62">
        <v>33</v>
      </c>
      <c r="F62">
        <f t="shared" si="1"/>
        <v>31.303435603459057</v>
      </c>
    </row>
    <row r="63" spans="5:6" x14ac:dyDescent="0.7">
      <c r="E63">
        <v>34</v>
      </c>
      <c r="F63">
        <f t="shared" si="1"/>
        <v>30.415626988898609</v>
      </c>
    </row>
    <row r="64" spans="5:6" x14ac:dyDescent="0.7">
      <c r="E64">
        <v>35</v>
      </c>
      <c r="F64">
        <f t="shared" si="1"/>
        <v>29.598742645584323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HAYAKATA Tomoki</dc:creator>
  <cp:lastModifiedBy>HAYAKATA Tomoki</cp:lastModifiedBy>
  <dcterms:created xsi:type="dcterms:W3CDTF">2025-11-10T08:16:14Z</dcterms:created>
  <dcterms:modified xsi:type="dcterms:W3CDTF">2025-11-13T14:39:45Z</dcterms:modified>
</cp:coreProperties>
</file>